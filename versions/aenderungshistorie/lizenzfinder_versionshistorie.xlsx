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ecc454ea951441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Uebersicht" sheetId="1" r:id="R0567667f5d33493d"/>
    <x:sheet xmlns:r="http://schemas.openxmlformats.org/officeDocument/2006/relationships" name="Versionshistorie" sheetId="2" r:id="R1afe69360aa34849"/>
    <x:sheet xmlns:r="http://schemas.openxmlformats.org/officeDocument/2006/relationships" name="Audit-Register" sheetId="3" r:id="R85f8e4fec87e4e68"/>
    <x:sheet xmlns:r="http://schemas.openxmlformats.org/officeDocument/2006/relationships" name="Listen" sheetId="4" r:id="R3b3918bdc9dd4dd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6">
    <x:font>
      <x:sz val="11"/>
      <x:name val="Carlito"/>
    </x:font>
    <x:font>
      <x:b/>
      <x:sz val="16"/>
      <x:color rgb="FFFFFFFF"/>
      <x:name val="Carlito"/>
    </x:font>
    <x:font>
      <x:sz val="10"/>
      <x:color rgb="FF374151"/>
      <x:name val="Carlito"/>
    </x:font>
    <x:font>
      <x:b/>
      <x:sz val="11"/>
      <x:color rgb="FF2F6F6E"/>
      <x:name val="Carlito"/>
    </x:font>
    <x:font>
      <x:sz val="11"/>
      <x:color rgb="FF111827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2F6F6E"/>
      </x:patternFill>
    </x:fill>
    <x:fill>
      <x:patternFill patternType="solid">
        <x:fgColor rgb="FFEDF7F7"/>
      </x:patternFill>
    </x:fill>
    <x:fill>
      <x:patternFill patternType="solid">
        <x:fgColor rgb="FFFFFFFF"/>
      </x:patternFill>
    </x:fill>
  </x:fills>
  <x:borders count="3">
    <x:border/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2F6F6E"/>
      </x:left>
      <x:right style="thin">
        <x:color rgb="FF2F6F6E"/>
      </x:right>
      <x:top style="thin">
        <x:color rgb="FF2F6F6E"/>
      </x:top>
      <x:bottom style="thin">
        <x:color rgb="FF2F6F6E"/>
      </x:bottom>
    </x:border>
  </x:borders>
  <x:cellStyleXfs count="1">
    <x:xf numFmtId="0" fontId="0" fillId="0" borderId="0"/>
  </x:cellStyleXfs>
  <x:cellXfs count="2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1" xfId="0" applyNumberFormat="1" applyFont="1" applyFill="1" applyBorder="1"/>
    <x:xf numFmtId="0" fontId="4" fillId="4" borderId="1" xfId="0" applyNumberFormat="1" applyFont="1" applyFill="1" applyBorder="1" applyAlignment="1">
      <x:alignment wrapText="1"/>
    </x:xf>
    <x:xf numFmtId="0" fontId="4" fillId="4" borderId="1" xfId="0" applyNumberFormat="1" applyFont="1" applyFill="1" applyBorder="1" applyAlignment="1">
      <x:alignment vertical="top" wrapText="1"/>
    </x:xf>
    <x:xf numFmtId="200" fontId="4" fillId="4" borderId="1" xfId="0" applyNumberFormat="1" applyFont="1" applyFill="1" applyBorder="1" applyAlignment="1">
      <x:alignment vertical="top" wrapText="1"/>
    </x:xf>
    <x:xf numFmtId="0" fontId="5" fillId="2" borderId="0" xfId="0" applyNumberFormat="1" applyFont="1" applyFill="1" applyBorder="1"/>
    <x:xf numFmtId="0" fontId="5" fillId="2" borderId="2" xfId="0" applyNumberFormat="1" applyFont="1" applyFill="1" applyBorder="1"/>
    <x:xf numFmtId="0" fontId="5" fillId="2" borderId="2" xfId="0" applyNumberFormat="1" applyFont="1" applyFill="1" applyBorder="1" applyAlignment="1">
      <x:alignment wrapText="1"/>
    </x:xf>
    <x:xf numFmtId="0" fontId="5" fillId="2" borderId="2" xfId="0" applyNumberFormat="1" applyFont="1" applyFill="1" applyBorder="1" applyAlignment="1">
      <x:alignment horizontal="center" wrapText="1"/>
    </x:xf>
    <x:xf numFmtId="0" fontId="5" fillId="2" borderId="2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3" fillId="3" borderId="1" xfId="0" applyNumberFormat="1" applyFont="1" applyFill="1" applyBorder="1" applyAlignment="1">
      <x:alignment vertical="top" wrapText="1"/>
    </x:xf>
    <x:xf numFmtId="0" fontId="5" fillId="2" borderId="2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b19a4a3c0b14f41" /><Relationship Type="http://schemas.openxmlformats.org/officeDocument/2006/relationships/theme" Target="/xl/theme/theme1.xml" Id="Rdd574b05f5cc48c1" /><Relationship Type="http://schemas.openxmlformats.org/officeDocument/2006/relationships/sharedStrings" Target="/xl/sharedStrings.xml" Id="R912b60054b20475c" /><Relationship Type="http://schemas.openxmlformats.org/officeDocument/2006/relationships/worksheet" Target="/xl/worksheets/sheet1.xml" Id="R0567667f5d33493d" /><Relationship Type="http://schemas.openxmlformats.org/officeDocument/2006/relationships/worksheet" Target="/xl/worksheets/sheet2.xml" Id="R1afe69360aa34849" /><Relationship Type="http://schemas.openxmlformats.org/officeDocument/2006/relationships/worksheet" Target="/xl/worksheets/sheet3.xml" Id="R85f8e4fec87e4e68" /><Relationship Type="http://schemas.openxmlformats.org/officeDocument/2006/relationships/worksheet" Target="/xl/worksheets/sheet4.xml" Id="R3b3918bdc9dd4dd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6" hidden="0" customWidth="1"/>
    <x:col min="3" max="3" width="4" hidden="0" customWidth="1"/>
    <x:col min="4" max="4" width="22" hidden="0" customWidth="1"/>
    <x:col min="5" max="5" width="13" hidden="0" customWidth="1"/>
    <x:col min="6" max="6" width="13" hidden="0" customWidth="1"/>
    <x:col min="7" max="7" width="34" hidden="0" customWidth="1"/>
    <x:col min="8" max="8" width="3" hidden="0" customWidth="1"/>
  </x:cols>
  <x:sheetData>
    <x:row r="1" ht="19.200000762939453" hidden="0" customHeight="1">
      <x:c r="A1" s="23" t="str">
        <x:v>Lizenzfinder - Projektuebersicht</x:v>
      </x:c>
      <x:c r="B1" s="23" t="str">
        <x:v>Lizenzfinder - Projektuebersicht</x:v>
      </x:c>
      <x:c r="C1" s="23" t="str">
        <x:v>Lizenzfinder - Projektuebersicht</x:v>
      </x:c>
      <x:c r="D1" s="23" t="str">
        <x:v>Lizenzfinder - Projektuebersicht</x:v>
      </x:c>
      <x:c r="E1" s="23" t="str">
        <x:v>Lizenzfinder - Projektuebersicht</x:v>
      </x:c>
      <x:c r="F1" s="23" t="str">
        <x:v>Lizenzfinder - Projektuebersicht</x:v>
      </x:c>
      <x:c r="G1" s="23" t="str">
        <x:v>Lizenzfinder - Projektuebersicht</x:v>
      </x:c>
      <x:c r="H1" s="23" t="str">
        <x:v>Lizenzfinder - Projektuebersicht</x:v>
      </x:c>
    </x:row>
    <x:row r="2" ht="15" hidden="0" customHeight="1">
      <x:c r="A2" s="24" t="str">
        <x:v>Arbeitsstand, Versionierung und naechste Schritte fuer das neue Tool.</x:v>
      </x:c>
      <x:c r="B2" s="24" t="str">
        <x:v>Arbeitsstand, Versionierung und naechste Schritte fuer das neue Tool.</x:v>
      </x:c>
      <x:c r="C2" s="24" t="str">
        <x:v>Arbeitsstand, Versionierung und naechste Schritte fuer das neue Tool.</x:v>
      </x:c>
      <x:c r="D2" s="24" t="str">
        <x:v>Arbeitsstand, Versionierung und naechste Schritte fuer das neue Tool.</x:v>
      </x:c>
      <x:c r="E2" s="24" t="str">
        <x:v>Arbeitsstand, Versionierung und naechste Schritte fuer das neue Tool.</x:v>
      </x:c>
      <x:c r="F2" s="24" t="str">
        <x:v>Arbeitsstand, Versionierung und naechste Schritte fuer das neue Tool.</x:v>
      </x:c>
      <x:c r="G2" s="24" t="str">
        <x:v>Arbeitsstand, Versionierung und naechste Schritte fuer das neue Tool.</x:v>
      </x:c>
      <x:c r="H2" s="24" t="str">
        <x:v>Arbeitsstand, Versionierung und naechste Schritte fuer das neue Tool.</x:v>
      </x:c>
    </x:row>
    <x:row r="3" ht="15" hidden="0" customHeight="1">
      <x:c r="A3" s="25"/>
      <x:c r="B3" s="25"/>
      <x:c r="C3" s="25"/>
      <x:c r="D3" s="25"/>
      <x:c r="E3" s="25"/>
      <x:c r="F3" s="25"/>
      <x:c r="G3" s="25"/>
      <x:c r="H3" s="25"/>
    </x:row>
    <x:row r="4" ht="15" hidden="0" customHeight="1">
      <x:c r="A4" s="26" t="str">
        <x:v>Aktuelle Version</x:v>
      </x:c>
      <x:c r="B4" s="14" t="str">
        <x:v>1.21.20260819-codex</x:v>
      </x:c>
      <x:c r="C4" s="25"/>
      <x:c r="D4" s="27" t="str">
        <x:v>Zaehler</x:v>
      </x:c>
      <x:c r="E4" s="27" t="str">
        <x:v>Formel</x:v>
      </x:c>
      <x:c r="F4" s="27" t="str">
        <x:v>Wert</x:v>
      </x:c>
      <x:c r="G4" s="27" t="str">
        <x:v>Kommentar</x:v>
      </x:c>
      <x:c r="H4" s="27" t="str"/>
    </x:row>
    <x:row r="5" ht="26.399999618530273" hidden="0" customHeight="1">
      <x:c r="A5" s="26" t="str">
        <x:v>Status</x:v>
      </x:c>
      <x:c r="B5" s="14" t="str">
        <x:v>Release Candidate nach V1.21-Footer-Transparenzkorrektur</x:v>
      </x:c>
      <x:c r="C5" s="25"/>
      <x:c r="D5" s="14" t="str">
        <x:v>Revisionen</x:v>
      </x:c>
      <x:c r="E5" s="14" t="n">
        <x:f>COUNTA(Versionshistorie!$A$2:$A$200)</x:f>
        <x:v>21</x:v>
      </x:c>
      <x:c r="F5" s="14" t="n">
        <x:f>E5</x:f>
        <x:v>21</x:v>
      </x:c>
      <x:c r="G5" s="14" t="str">
        <x:v>Anzahl dokumentierter Staende</x:v>
      </x:c>
      <x:c r="H5" s="14" t="str"/>
    </x:row>
    <x:row r="6" ht="15" hidden="0" customHeight="1">
      <x:c r="A6" s="26" t="str">
        <x:v>Letzte Aenderung</x:v>
      </x:c>
      <x:c r="B6" s="15" t="n">
        <x:v>46253</x:v>
      </x:c>
      <x:c r="C6" s="25"/>
      <x:c r="D6" s="14" t="str">
        <x:v>Offene Audits</x:v>
      </x:c>
      <x:c r="E6" s="14" t="n">
        <x:f>COUNTIF('Audit-Register'!$E$2:$E$200,"offen")</x:f>
        <x:v>3</x:v>
      </x:c>
      <x:c r="F6" s="14" t="n">
        <x:f>E6</x:f>
        <x:v>3</x:v>
      </x:c>
      <x:c r="G6" s="14" t="str">
        <x:v>Offene Pruefpunkte</x:v>
      </x:c>
      <x:c r="H6" s="14" t="str"/>
    </x:row>
    <x:row r="7" ht="15" hidden="0" customHeight="1">
      <x:c r="A7" s="26" t="str">
        <x:v>Primaeres Werkzeug</x:v>
      </x:c>
      <x:c r="B7" s="14" t="str">
        <x:v>codex</x:v>
      </x:c>
      <x:c r="C7" s="25"/>
      <x:c r="D7" s="14" t="str">
        <x:v>Freigabekandidaten</x:v>
      </x:c>
      <x:c r="E7" s="14" t="n">
        <x:f>COUNTIF(Versionshistorie!$G$2:$G$200,"Freigabekandidat")</x:f>
        <x:v>1</x:v>
      </x:c>
      <x:c r="F7" s="14" t="n">
        <x:f>E7</x:f>
        <x:v>1</x:v>
      </x:c>
      <x:c r="G7" s="14" t="str">
        <x:v>Staende kurz vor Weitergabe</x:v>
      </x:c>
      <x:c r="H7" s="14" t="str"/>
    </x:row>
    <x:row r="8" ht="15" hidden="0" customHeight="1">
      <x:c r="A8" s="26" t="str">
        <x:v>Zielgruppe</x:v>
      </x:c>
      <x:c r="B8" s="14" t="str">
        <x:v>Selbst erstellte Inhalte allgemein</x:v>
      </x:c>
      <x:c r="C8" s="25"/>
      <x:c r="D8" s="14" t="str">
        <x:v>Archivierte Staende</x:v>
      </x:c>
      <x:c r="E8" s="14" t="n">
        <x:f>COUNTIF(Versionshistorie!$G$2:$G$200,"Archiviert")</x:f>
        <x:v>8</x:v>
      </x:c>
      <x:c r="F8" s="14" t="n">
        <x:f>E8</x:f>
        <x:v>8</x:v>
      </x:c>
      <x:c r="G8" s="14" t="str">
        <x:v>Gesicherte Vorversionen</x:v>
      </x:c>
      <x:c r="H8" s="14" t="str"/>
    </x:row>
    <x:row r="9" ht="39.599998474121094" hidden="0" customHeight="1">
      <x:c r="A9" s="26" t="str">
        <x:v>Naechster Schritt</x:v>
      </x:c>
      <x:c r="B9" s="14" t="str">
        <x:v>Fachliche Endabnahme, manuelle Tastatur-/Fokuspruefung und GitHub-Sichtpruefung vor finaler Freigabe</x:v>
      </x:c>
      <x:c r="C9" s="25"/>
      <x:c r="D9" s="25"/>
      <x:c r="E9" s="25"/>
      <x:c r="F9" s="25"/>
      <x:c r="G9" s="25"/>
      <x:c r="H9" s="25"/>
    </x:row>
    <x:row r="10" ht="15" hidden="0" customHeight="1">
      <x:c r="A10" s="26" t="str">
        <x:v>Hinweis</x:v>
      </x:c>
      <x:c r="B10" s="14" t="str">
        <x:v>Orientierung, keine Rechtsberatung</x:v>
      </x:c>
      <x:c r="C10" s="25"/>
      <x:c r="D10" s="25"/>
      <x:c r="E10" s="25"/>
      <x:c r="F10" s="25"/>
      <x:c r="G10" s="25"/>
      <x:c r="H10" s="25"/>
    </x:row>
  </x:sheetData>
  <x:mergeCells>
    <x:mergeCell ref="A1:H1"/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4" hidden="0" customWidth="1"/>
    <x:col min="3" max="3" width="10" hidden="0" customWidth="1"/>
    <x:col min="4" max="4" width="10" hidden="0" customWidth="1"/>
    <x:col min="5" max="5" width="14" hidden="0" customWidth="1"/>
    <x:col min="6" max="6" width="22" hidden="0" customWidth="1"/>
    <x:col min="7" max="7" width="18" hidden="0" customWidth="1"/>
    <x:col min="8" max="8" width="50" hidden="0" customWidth="1"/>
    <x:col min="9" max="9" width="36" hidden="0" customWidth="1"/>
    <x:col min="10" max="10" width="26" hidden="0" customWidth="1"/>
    <x:col min="11" max="11" width="40" hidden="0" customWidth="1"/>
  </x:cols>
  <x:sheetData>
    <x:row r="1" ht="15" hidden="0" customHeight="1">
      <x:c r="A1" s="27" t="str">
        <x:v>Version</x:v>
      </x:c>
      <x:c r="B1" s="27" t="str">
        <x:v>Datum</x:v>
      </x:c>
      <x:c r="C1" s="27" t="str">
        <x:v>Linie</x:v>
      </x:c>
      <x:c r="D1" s="27" t="str">
        <x:v>Revision</x:v>
      </x:c>
      <x:c r="E1" s="27" t="str">
        <x:v>Toolcode</x:v>
      </x:c>
      <x:c r="F1" s="27" t="str">
        <x:v>Bearbeiter:in</x:v>
      </x:c>
      <x:c r="G1" s="27" t="str">
        <x:v>Status</x:v>
      </x:c>
      <x:c r="H1" s="27" t="str">
        <x:v>Kurzbeschreibung</x:v>
      </x:c>
      <x:c r="I1" s="27" t="str">
        <x:v>Geaenderte Bereiche</x:v>
      </x:c>
      <x:c r="J1" s="27" t="str">
        <x:v>Audit / Pruefung</x:v>
      </x:c>
      <x:c r="K1" s="27" t="str">
        <x:v>Naechster Schritt</x:v>
      </x:c>
    </x:row>
    <x:row r="2" ht="26.399999618530273" hidden="0" customHeight="1">
      <x:c r="A2" s="14" t="str">
        <x:v>1.1.20260626-codex</x:v>
      </x:c>
      <x:c r="B2" s="15" t="n">
        <x:v>46199</x:v>
      </x:c>
      <x:c r="C2" s="14" t="n">
        <x:v>1</x:v>
      </x:c>
      <x:c r="D2" s="14" t="n">
        <x:v>1</x:v>
      </x:c>
      <x:c r="E2" s="14" t="str">
        <x:v>codex</x:v>
      </x:c>
      <x:c r="F2" s="14" t="str">
        <x:v>Johannes Koch / Codex</x:v>
      </x:c>
      <x:c r="G2" s="14" t="str">
        <x:v>Konzept</x:v>
      </x:c>
      <x:c r="H2" s="14" t="str">
        <x:v>Projektbasis angelegt: Struktur, Styleguide, Audit-Template, Versionsschema und erste Fragenlogik.</x:v>
      </x:c>
      <x:c r="I2" s="14" t="str">
        <x:v>Projektstruktur; Dokumentation; Versionierung</x:v>
      </x:c>
      <x:c r="J2" s="14" t="str">
        <x:v>Basispruefung ausstehend</x:v>
      </x:c>
      <x:c r="K2" s="14" t="str">
        <x:v>Fragenlogik und Lizenzmatrix konkretisieren</x:v>
      </x:c>
    </x:row>
    <x:row r="3" ht="39.599998474121094" hidden="0" customHeight="1">
      <x:c r="A3" s="14" t="str">
        <x:v>1.2.20260626-codex</x:v>
      </x:c>
      <x:c r="B3" s="15" t="n">
        <x:v>46199</x:v>
      </x:c>
      <x:c r="C3" s="14" t="n">
        <x:v>1</x:v>
      </x:c>
      <x:c r="D3" s="14" t="n">
        <x:v>2</x:v>
      </x:c>
      <x:c r="E3" s="14" t="str">
        <x:v>codex</x:v>
      </x:c>
      <x:c r="F3" s="14" t="str">
        <x:v>Johannes Koch / Codex</x:v>
      </x:c>
      <x:c r="G3" s="14" t="str">
        <x:v>Konzept</x:v>
      </x:c>
      <x:c r="H3" s="14" t="str">
        <x:v>Allgemeine App-Anforderungen erfasst: responsive Basis, Accessibility, Darkmode, Mehrsprachigkeit, sprachsensitive Links, Hilfe/Kontakt, Footer, Metadaten, CC-Badges.</x:v>
      </x:c>
      <x:c r="I3" s="14" t="str">
        <x:v>Anforderungen; Styleguide; Entscheidungen; Fragenlogik; Versionierung</x:v>
      </x:c>
      <x:c r="J3" s="14" t="str">
        <x:v>Strukturpruefung dokumentiert</x:v>
      </x:c>
      <x:c r="K3" s="14" t="str">
        <x:v>Lizenzlogik-Matrix und Linkmatrix ausarbeiten</x:v>
      </x:c>
    </x:row>
    <x:row r="4" ht="39.599998474121094" hidden="0" customHeight="1">
      <x:c r="A4" s="14" t="str">
        <x:v>1.3.20260626-codex</x:v>
      </x:c>
      <x:c r="B4" s="15" t="n">
        <x:v>46199</x:v>
      </x:c>
      <x:c r="C4" s="14" t="n">
        <x:v>1</x:v>
      </x:c>
      <x:c r="D4" s="14" t="n">
        <x:v>3</x:v>
      </x:c>
      <x:c r="E4" s="14" t="str">
        <x:v>codex</x:v>
      </x:c>
      <x:c r="F4" s="14" t="str">
        <x:v>Johannes Koch / Codex</x:v>
      </x:c>
      <x:c r="G4" s="14" t="str">
        <x:v>Konzept</x:v>
      </x:c>
      <x:c r="H4" s="14" t="str">
        <x:v>Projektordner in lizenzfinder-vermerk-app umbenannt und die Projektunterlagen sprachlich auf App, Anwendung und Vermerk-Erstellung umgestellt.</x:v>
      </x:c>
      <x:c r="I4" s="14" t="str">
        <x:v>Projektstruktur; Dokumentation; Benennung; Versionierung</x:v>
      </x:c>
      <x:c r="J4" s="14" t="str">
        <x:v>Strukturpruefung dokumentiert</x:v>
      </x:c>
      <x:c r="K4" s="14" t="str">
        <x:v>Erste HTML-Prototypdatei erstellen</x:v>
      </x:c>
    </x:row>
    <x:row r="5" ht="39.599998474121094" hidden="0" customHeight="1">
      <x:c r="A5" s="14" t="str">
        <x:v>1.4.20260626-codex</x:v>
      </x:c>
      <x:c r="B5" s="15" t="n">
        <x:v>46199</x:v>
      </x:c>
      <x:c r="C5" s="14" t="n">
        <x:v>1</x:v>
      </x:c>
      <x:c r="D5" s="14" t="n">
        <x:v>4</x:v>
      </x:c>
      <x:c r="E5" s="14" t="str">
        <x:v>codex</x:v>
      </x:c>
      <x:c r="F5" s="14" t="str">
        <x:v>Johannes Koch / Codex</x:v>
      </x:c>
      <x:c r="G5" s="14" t="str">
        <x:v>Entwurf</x:v>
      </x:c>
      <x:c r="H5" s="14" t="str">
        <x:v>Erste klickbare HTML-Fassung erstellt: Fragebogen, Empfehlung, Alternative, Kontrabeispiel, Vermerk-Erstellung, DE/EN, Darkmode, Lesbarkeit, Hilfe-Fenster, Footer und CC-Badge-Hinweise.</x:v>
      </x:c>
      <x:c r="I5" s="14" t="str">
        <x:v>HTML-Prototyp; UI; Interaktion; Mehrsprachigkeit; Vermerk-Erstellung</x:v>
      </x:c>
      <x:c r="J5" s="14" t="str">
        <x:v>Technische Basispruefung ausstehend</x:v>
      </x:c>
      <x:c r="K5" s="14" t="str">
        <x:v>HTML-Prototyp fachlich, visuell und barrierearm pruefen</x:v>
      </x:c>
    </x:row>
    <x:row r="6" ht="52.79999923706055" hidden="0" customHeight="1">
      <x:c r="A6" s="14" t="str">
        <x:v>1.5.20260626-codex</x:v>
      </x:c>
      <x:c r="B6" s="15" t="n">
        <x:v>46199</x:v>
      </x:c>
      <x:c r="C6" s="14" t="n">
        <x:v>1</x:v>
      </x:c>
      <x:c r="D6" s="14" t="n">
        <x:v>5</x:v>
      </x:c>
      <x:c r="E6" s="14" t="str">
        <x:v>codex</x:v>
      </x:c>
      <x:c r="F6" s="14" t="str">
        <x:v>Johannes Koch / Codex</x:v>
      </x:c>
      <x:c r="G6" s="14" t="str">
        <x:v>Entwurf</x:v>
      </x:c>
      <x:c r="H6" s="14" t="str">
        <x:v>UI nach AGB-Tool-Referenz beruhigt: Header/Footer naeher angeglichen, gelber Disclaimer entfernt, Schriftgroesse ergaenzt, sichtbare Frageinfos, schlankere Auswertung, Lizenzbaukasten, FAQ und Medientyp im Vermerk.</x:v>
      </x:c>
      <x:c r="I6" s="14" t="str">
        <x:v>HTML-Prototyp; UI; Barrierearmut; Mehrsprachigkeit; FAQ; Vermerk-Erstellung; Versionierung</x:v>
      </x:c>
      <x:c r="J6" s="14" t="str">
        <x:v>Technische Skriptpruefung bestanden; visuelles Browser-Audit ausstehend</x:v>
      </x:c>
      <x:c r="K6" s="14" t="str">
        <x:v>Layout im Browser gegen Screenshots pruefen und Inhalte fachlich feinjustieren</x:v>
      </x:c>
    </x:row>
    <x:row r="7" ht="66" hidden="0" customHeight="1">
      <x:c r="A7" s="14" t="str">
        <x:v>1.6.20260626-codex</x:v>
      </x:c>
      <x:c r="B7" s="15" t="n">
        <x:v>46199</x:v>
      </x:c>
      <x:c r="C7" s="14" t="n">
        <x:v>1</x:v>
      </x:c>
      <x:c r="D7" s="14" t="n">
        <x:v>6</x:v>
      </x:c>
      <x:c r="E7" s="14" t="str">
        <x:v>codex</x:v>
      </x:c>
      <x:c r="F7" s="14" t="str">
        <x:v>Johannes Koch / Codex</x:v>
      </x:c>
      <x:c r="G7" s="14" t="str">
        <x:v>Entwurf</x:v>
      </x:c>
      <x:c r="H7" s="14" t="str">
        <x:v>Visuelle Naeherung an das AGB-Tool deutlich verstaerkt: Header, Navigation, Hilfe-Fenster, Footer und Workflow-Struktur uebernommen; Startseite als vertikaler Drei-Schritt-Workflow aufgebaut; Lizenzkarten erklaeren nun den Charakter der Lizenzen und zeigen Badges.</x:v>
      </x:c>
      <x:c r="I7" s="14" t="str">
        <x:v>HTML-Prototyp; UI; Workflow; Navigation; Hilfe-Fenster; Lizenzuebersicht; Vermerk-Erstellung</x:v>
      </x:c>
      <x:c r="J7" s="14" t="str">
        <x:v>Technische Skriptpruefung bestanden; Browser-Sichtpruefung in dieser Umgebung nicht moeglich</x:v>
      </x:c>
      <x:c r="K7" s="14" t="str">
        <x:v>Datei im Browser oeffnen, visuell gegen AGB-Tool pruefen und naechste Detailkorrekturen markieren</x:v>
      </x:c>
    </x:row>
    <x:row r="8" ht="79.19999694824219" hidden="0" customHeight="1">
      <x:c r="A8" s="14" t="str">
        <x:v>1.7.20260626-codex</x:v>
      </x:c>
      <x:c r="B8" s="15" t="n">
        <x:v>46199</x:v>
      </x:c>
      <x:c r="C8" s="14" t="n">
        <x:v>1</x:v>
      </x:c>
      <x:c r="D8" s="14" t="n">
        <x:v>7</x:v>
      </x:c>
      <x:c r="E8" s="14" t="str">
        <x:v>codex</x:v>
      </x:c>
      <x:c r="F8" s="14" t="str">
        <x:v>Johannes Koch / Codex</x:v>
      </x:c>
      <x:c r="G8" s="14" t="str">
        <x:v>Entwurf</x:v>
      </x:c>
      <x:c r="H8" s="14" t="str">
        <x:v>Farbrollen nach AGB-Styleguide korrigiert: Teal fuer Orientierung, Grau fuer ruhige Flaechen, Citrus nur fuer Aktionen, Rose fuer Risiko. Seitentitel zu Offenheit sichtbar machen geaendert, Workflow-Abstaende verbessert, Markdown/HTML-Vorlagen eingeklappt und Lizenzuebersicht als kompakte AGB-nahe Karten mit Detailansicht umgesetzt.</x:v>
      </x:c>
      <x:c r="I8" s="14" t="str">
        <x:v>HTML-Prototyp; UI; Farbrollen; Workflow; Lizenzuebersicht; Vermerk-Erstellung; Versionierung</x:v>
      </x:c>
      <x:c r="J8" s="14" t="str">
        <x:v>Technische Skriptpruefung bestanden; Browser-Sichtpruefung durch lokale macOS-/Sandbox-Sperre blockiert</x:v>
      </x:c>
      <x:c r="K8" s="14" t="str">
        <x:v>Datei lokal im Browser visuell pruefen oder Codex-Browserrechte fuer Mach-Port/Browserstart klaeren</x:v>
      </x:c>
    </x:row>
    <x:row r="9" ht="92.4000015258789" hidden="0" customHeight="1">
      <x:c r="A9" s="14" t="str">
        <x:v>1.8.20260627-codex</x:v>
      </x:c>
      <x:c r="B9" s="15" t="n">
        <x:v>46200</x:v>
      </x:c>
      <x:c r="C9" s="14" t="n">
        <x:v>1</x:v>
      </x:c>
      <x:c r="D9" s="14" t="n">
        <x:v>8</x:v>
      </x:c>
      <x:c r="E9" s="14" t="str">
        <x:v>codex</x:v>
      </x:c>
      <x:c r="F9" s="14" t="str">
        <x:v>Johannes Koch / Codex</x:v>
      </x:c>
      <x:c r="G9" s="14" t="str">
        <x:v>Entwurf</x:v>
      </x:c>
      <x:c r="H9" s="14" t="str">
        <x:v>App innerhalb der Anwendung auf Lizenzfinder verkuerzt; Header- und Workflow-Texte geschaerft; ungenutzte Materialtyp-Frage entfernt; Fragehinweise ruhiger gestaltet; Namensnennung, kommerzielle Nutzung und gleiche Lizenz fuer Bearbeitungen zugänglicher formuliert; Exportbereich mit eigenstaendiger Workflow-HTML und iframe-Snippet ergaenzt; redaktionelle Textdateien fuer kuenftige Textarbeit angelegt.</x:v>
      </x:c>
      <x:c r="I9" s="14" t="str">
        <x:v>HTML-Prototyp; Texte; Fragenlogik; Export; Redaktionstexte; Versionierung</x:v>
      </x:c>
      <x:c r="J9" s="14" t="str">
        <x:v>Technische Skriptpruefung vorgesehen; Browser-Sichtpruefung weiterhin durch lokale macOS-/Sandbox-Sperre eingeschraenkt</x:v>
      </x:c>
      <x:c r="K9" s="14" t="str">
        <x:v>Exportdatei und Redaktionsworkflow praktisch testen; naechste Textkorrekturen bevorzugt ueber content/redaktionstexte.de.md sammeln</x:v>
      </x:c>
    </x:row>
    <x:row r="10" ht="92.4000015258789" hidden="0" customHeight="1">
      <x:c r="A10" s="14" t="str">
        <x:v>1.9.20260627-codex</x:v>
      </x:c>
      <x:c r="B10" s="15" t="n">
        <x:v>46200</x:v>
      </x:c>
      <x:c r="C10" s="14" t="n">
        <x:v>1</x:v>
      </x:c>
      <x:c r="D10" s="14" t="n">
        <x:v>9</x:v>
      </x:c>
      <x:c r="E10" s="14" t="str">
        <x:v>codex</x:v>
      </x:c>
      <x:c r="F10" s="14" t="str">
        <x:v>Johannes Koch / Codex</x:v>
      </x:c>
      <x:c r="G10" s="14" t="str">
        <x:v>Entwurf</x:v>
      </x:c>
      <x:c r="H10" s="14" t="str">
        <x:v>Kommerzielle Nutzung im Fragehinweis genauer erklaert; Exportbereich mit Vorschau, direktem Download und erklaertem Einbettungscode erweitert; Lizenzvermerk mit twillo-Attribution vereinheitlicht; Medientypen ergaenzt; eigener Medientyp mit Artikelwahl und ohne Artikel ermoeglicht; Titel im generierten Vermerk in Anfuehrungszeichen gesetzt; sichtbare Versionsnummer im Footer ergaenzt.</x:v>
      </x:c>
      <x:c r="I10" s="14" t="str">
        <x:v>HTML-Prototyp; Export; Vermerk-Erstellung; Metadaten; Redaktionstexte; Versionierung</x:v>
      </x:c>
      <x:c r="J10" s="14" t="str">
        <x:v>Technische Skriptpruefung bestanden; Browser-Sichtpruefung weiterhin lokal zu pruefen</x:v>
      </x:c>
      <x:c r="K10" s="14" t="str">
        <x:v>V1.9 im Browser oeffnen, Exportdownload testen und Vermerkbeispiele redaktionell pruefen</x:v>
      </x:c>
    </x:row>
    <x:row r="11" ht="66" hidden="0" customHeight="1">
      <x:c r="A11" s="14" t="str">
        <x:v>1.10.20260627-codex</x:v>
      </x:c>
      <x:c r="B11" s="15" t="n">
        <x:v>46200</x:v>
      </x:c>
      <x:c r="C11" s="14" t="n">
        <x:v>1</x:v>
      </x:c>
      <x:c r="D11" s="14" t="n">
        <x:v>10</x:v>
      </x:c>
      <x:c r="E11" s="14" t="str">
        <x:v>codex</x:v>
      </x:c>
      <x:c r="F11" s="14" t="str">
        <x:v>Johannes Koch / Codex</x:v>
      </x:c>
      <x:c r="G11" s="14" t="str">
        <x:v>Entwurf</x:v>
      </x:c>
      <x:c r="H11" s="14" t="str">
        <x:v>Medientyp-Hinweis in der Vermerkmaske entfernt; Export-Download als eingebettete HTML-Datei umgesetzt; Exportfassung als kompaktes dreistufiges Ziehharmonika-Element aufgebaut; Hinweis zu alle Rechte vorbehalten dezent in den ersten Workflowschritt verschoben.</x:v>
      </x:c>
      <x:c r="I11" s="14" t="str">
        <x:v>HTML-Prototyp; Export; Einbettung; UI; Versionierung</x:v>
      </x:c>
      <x:c r="J11" s="14" t="str">
        <x:v>Technische Skriptpruefung bestanden; Browser-Downloadpruefung lokal empfohlen</x:v>
      </x:c>
      <x:c r="K11" s="14" t="str">
        <x:v>Download und Accordion-Verhalten im lokalen Browser testen</x:v>
      </x:c>
    </x:row>
    <x:row r="12" ht="66" hidden="0" customHeight="1">
      <x:c r="A12" s="14" t="str">
        <x:v>1.11.20260627-codex</x:v>
      </x:c>
      <x:c r="B12" s="15" t="n">
        <x:v>46200</x:v>
      </x:c>
      <x:c r="C12" s="14" t="n">
        <x:v>1</x:v>
      </x:c>
      <x:c r="D12" s="14" t="n">
        <x:v>11</x:v>
      </x:c>
      <x:c r="E12" s="14" t="str">
        <x:v>codex</x:v>
      </x:c>
      <x:c r="F12" s="14" t="str">
        <x:v>Johannes Koch / Codex</x:v>
      </x:c>
      <x:c r="G12" s="14" t="str">
        <x:v>Entwurf</x:v>
      </x:c>
      <x:c r="H12" s="14" t="str">
        <x:v>Oberste HTML-Datei eindeutig als Lizenzfinder-App mit Versionsnummer benannt; Export-Accordion startet nun komplett eingeklappt; Lizenzempfehlung klappt nach Abschluss des Fragebogens automatisch auf; Textanleitung zur WordPress-/iframe-Einbettung als Download ergaenzt.</x:v>
      </x:c>
      <x:c r="I12" s="14" t="str">
        <x:v>Dateinamen; HTML-Prototyp; Export; Einbettung; UX; Versionierung</x:v>
      </x:c>
      <x:c r="J12" s="14" t="str">
        <x:v>Technische Skriptpruefung vorgesehen; Browser-Downloadpruefung lokal empfohlen</x:v>
      </x:c>
      <x:c r="K12" s="14" t="str">
        <x:v>V1.11 lokal im Browser oeffnen, Export herunterladen und WordPress-Einbettung testen</x:v>
      </x:c>
    </x:row>
    <x:row r="13" ht="52.79999923706055" hidden="0" customHeight="1">
      <x:c r="A13" s="14" t="str">
        <x:v>1.12.20260627-codex</x:v>
      </x:c>
      <x:c r="B13" s="15" t="n">
        <x:v>46200</x:v>
      </x:c>
      <x:c r="C13" s="14" t="n">
        <x:v>1</x:v>
      </x:c>
      <x:c r="D13" s="14" t="n">
        <x:v>12</x:v>
      </x:c>
      <x:c r="E13" s="14" t="str">
        <x:v>codex</x:v>
      </x:c>
      <x:c r="F13" s="14" t="str">
        <x:v>Johannes Koch / Codex</x:v>
      </x:c>
      <x:c r="G13" s="14" t="str">
        <x:v>Entwurf</x:v>
      </x:c>
      <x:c r="H13" s="14" t="str">
        <x:v>Interne Hinweiszeile beim Lizenzvermerk entfernt; englische TULLU+B-Begriffe durch allgemein verstaendliche Attribution-Formulierungen ersetzt; englische Formular-Platzhalter sprachlich angepasst; Exportdatei synchronisiert.</x:v>
      </x:c>
      <x:c r="I13" s="14" t="str">
        <x:v>Sprache; Redaktion; HTML-Prototyp; Export; Versionierung</x:v>
      </x:c>
      <x:c r="J13" s="14" t="str">
        <x:v>Technische Skriptpruefung vorgesehen; Browser-Sichtpruefung lokal empfohlen</x:v>
      </x:c>
      <x:c r="K13" s="14" t="str">
        <x:v>Release-Candidate-Audit vorbereiten und finale Dokumentation pruefen</x:v>
      </x:c>
    </x:row>
    <x:row r="14" ht="52.79999923706055" hidden="0" customHeight="1">
      <x:c r="A14" s="14" t="str">
        <x:v>1.13.20260627-codex</x:v>
      </x:c>
      <x:c r="B14" s="15" t="n">
        <x:v>46200</x:v>
      </x:c>
      <x:c r="C14" s="14" t="n">
        <x:v>1</x:v>
      </x:c>
      <x:c r="D14" s="14" t="n">
        <x:v>13</x:v>
      </x:c>
      <x:c r="E14" s="14" t="str">
        <x:v>codex</x:v>
      </x:c>
      <x:c r="F14" s="14" t="str">
        <x:v>Johannes Koch / Codex</x:v>
      </x:c>
      <x:c r="G14" s="14" t="str">
        <x:v>Archiviert</x:v>
      </x:c>
      <x:c r="H14" s="14" t="str">
        <x:v>Release Candidate erstellt; V1.12 archiviert; Abschlussaudit angelegt; TODO, Projektnotizen, Anforderungen, Fragenlogik, Linkmatrix, Textsystem und Entscheidungen auf Freigabestand aktualisiert.</x:v>
      </x:c>
      <x:c r="I14" s="14" t="str">
        <x:v>Release Candidate; Audit; Dokumentation; Versionierung; Export</x:v>
      </x:c>
      <x:c r="J14" s="14" t="str">
        <x:v>Technische Skriptpruefung vorgesehen; visuelle Browserpruefung und WordPress-Test offen</x:v>
      </x:c>
      <x:c r="K14" s="14" t="str">
        <x:v>Freigabetests durchfuehren und danach finale Version erstellen</x:v>
      </x:c>
    </x:row>
    <x:row r="15" ht="52.79999923706055" hidden="0" customHeight="1">
      <x:c r="A15" s="14" t="str">
        <x:v>1.14.20260629-codex</x:v>
      </x:c>
      <x:c r="B15" s="15" t="n">
        <x:v>46202</x:v>
      </x:c>
      <x:c r="C15" s="14" t="n">
        <x:v>1</x:v>
      </x:c>
      <x:c r="D15" s="14" t="n">
        <x:v>14</x:v>
      </x:c>
      <x:c r="E15" s="14" t="str">
        <x:v>codex</x:v>
      </x:c>
      <x:c r="F15" s="14" t="str">
        <x:v>Johannes Koch / Codex</x:v>
      </x:c>
      <x:c r="G15" s="14" t="str">
        <x:v>Archiviert</x:v>
      </x:c>
      <x:c r="H15" s="14" t="str">
        <x:v>Lizenz-Sync-Bug behoben; bedingtes Ueberspringen nicht relevanter Fragen umgesetzt; Korrekturen in Haupt-App, Exportdatei und eingebettete Download-Kopie uebernommen; Audit-Nachtrag und Dokumentation aktualisiert.</x:v>
      </x:c>
      <x:c r="I15" s="14" t="str">
        <x:v>Release Candidate; Logik; Export; Vermerk; Audit; Versionierung</x:v>
      </x:c>
      <x:c r="J15" s="14" t="str">
        <x:v>Technische Logik- und Syntaxpruefung bestanden; visuelle Browserpruefung und WordPress-Test offen</x:v>
      </x:c>
      <x:c r="K15" s="14" t="str">
        <x:v>Durch V1.15 abgeloest</x:v>
      </x:c>
    </x:row>
    <x:row r="16" ht="66" hidden="0" customHeight="1">
      <x:c r="A16" s="14" t="str">
        <x:v>1.15.20260819-codex</x:v>
      </x:c>
      <x:c r="B16" s="15" t="n">
        <x:v>46253</x:v>
      </x:c>
      <x:c r="C16" s="14" t="n">
        <x:v>1</x:v>
      </x:c>
      <x:c r="D16" s="14" t="n">
        <x:v>15</x:v>
      </x:c>
      <x:c r="E16" s="14" t="str">
        <x:v>codex</x:v>
      </x:c>
      <x:c r="F16" s="14" t="str">
        <x:v>Johannes Koch / Codex</x:v>
      </x:c>
      <x:c r="G16" s="14" t="str">
        <x:v>Archiviert</x:v>
      </x:c>
      <x:c r="H16" s="14" t="str">
        <x:v>Feedbackrunde umgesetzt; Exportfunktion entfernt; Software-Lizenzueberblick ergaenzt; twillo-Veroeffentlichungshinweis ergaenzt; leichteres Redesign; Quelle modularisiert; GitHub-Unterlagen angelegt.</x:v>
      </x:c>
      <x:c r="I16" s="14" t="str">
        <x:v>Feedback; Design; Software-Lizenzen; GitHub; Architektur; Versionierung</x:v>
      </x:c>
      <x:c r="J16" s="14" t="str">
        <x:v>Build-, Release- und Browserpruefung bestanden; fachliche Endabnahme und manuelle Tastatur-/Fokuspruefung offen</x:v>
      </x:c>
      <x:c r="K16" s="14" t="str">
        <x:v>Durch V1.16 abgeloest</x:v>
      </x:c>
    </x:row>
    <x:row r="17" ht="66" hidden="0" customHeight="1">
      <x:c r="A17" s="14" t="str">
        <x:v>1.16.20260819-codex</x:v>
      </x:c>
      <x:c r="B17" s="15" t="n">
        <x:v>46253</x:v>
      </x:c>
      <x:c r="C17" s="14" t="n">
        <x:v>1</x:v>
      </x:c>
      <x:c r="D17" s="14" t="n">
        <x:v>16</x:v>
      </x:c>
      <x:c r="E17" s="14" t="str">
        <x:v>codex</x:v>
      </x:c>
      <x:c r="F17" s="14" t="str">
        <x:v>Johannes Koch / Codex</x:v>
      </x:c>
      <x:c r="G17" s="14" t="str">
        <x:v>Archiviert</x:v>
      </x:c>
      <x:c r="H17" s="14" t="str">
        <x:v>Header kompakter; sichtbares twillo-Branding aus dem Header entfernt; Footer auf Verantwortungszeile reduziert; Ueber-diese-Anwendung-Panel umgesetzt; App-Lizenz auf MIT umgestellt; Dark Mode entfernt; CC0-Zero-Icon statt Public-Domain-Button eingesetzt.</x:v>
      </x:c>
      <x:c r="I17" s="14" t="str">
        <x:v>Design; Lizenz; Accessibility; CC0; GitHub; Versionierung</x:v>
      </x:c>
      <x:c r="J17" s="14" t="str">
        <x:v>Build-, Release- und Browserpruefung vorgesehen; fachliche Endabnahme, manuelle Tastatur-/Fokuspruefung und GitHub-Push offen</x:v>
      </x:c>
      <x:c r="K17" s="14" t="str">
        <x:v>Durch V1.17 abgeloest</x:v>
      </x:c>
    </x:row>
    <x:row r="18" ht="66" hidden="0" customHeight="1">
      <x:c r="A18" s="14" t="str">
        <x:v>1.17.20260819-codex</x:v>
      </x:c>
      <x:c r="B18" s="15" t="n">
        <x:v>46253</x:v>
      </x:c>
      <x:c r="C18" s="14" t="n">
        <x:v>1</x:v>
      </x:c>
      <x:c r="D18" s="14" t="n">
        <x:v>17</x:v>
      </x:c>
      <x:c r="E18" s="14" t="str">
        <x:v>codex</x:v>
      </x:c>
      <x:c r="F18" s="14" t="str">
        <x:v>Johannes Koch / Codex</x:v>
      </x:c>
      <x:c r="G18" s="14" t="str">
        <x:v>Archiviert</x:v>
      </x:c>
      <x:c r="H18" s="14" t="str">
        <x:v>Feinabstand unter Navigation erhoeht; About- und Footer-Texte reduziert; Netzwerk-Waechter und CSP ergaenzt; sichtbare Badges lokal als SVG erzeugt; Schatten im Vermerkbereich entfernt; twillo-Hinweis ruhiger gestaltet.</x:v>
      </x:c>
      <x:c r="I18" s="14" t="str">
        <x:v>Design; Netzwerk; Lizenz; Barrierearmut; GitHub; Versionierung</x:v>
      </x:c>
      <x:c r="J18" s="14" t="str">
        <x:v>Build-, Release- und Browserpruefung vorgesehen; fachliche Endabnahme, manuelle Tastatur-/Fokuspruefung und GitHub-Push offen</x:v>
      </x:c>
      <x:c r="K18" s="14" t="str">
        <x:v>Durch V1.18 abgeloest</x:v>
      </x:c>
    </x:row>
    <x:row r="19" ht="92.4000015258789" hidden="0" customHeight="1">
      <x:c r="A19" s="14" t="str">
        <x:v>1.18.20260819-codex</x:v>
      </x:c>
      <x:c r="B19" s="15" t="n">
        <x:v>46253</x:v>
      </x:c>
      <x:c r="C19" s="14" t="n">
        <x:v>1</x:v>
      </x:c>
      <x:c r="D19" s="14" t="n">
        <x:v>18</x:v>
      </x:c>
      <x:c r="E19" s="14" t="str">
        <x:v>codex</x:v>
      </x:c>
      <x:c r="F19" s="14" t="str">
        <x:v>Johannes Koch / Codex</x:v>
      </x:c>
      <x:c r="G19" s="14" t="str">
        <x:v>Archiviert</x:v>
      </x:c>
      <x:c r="H19" s="14" t="str">
        <x:v>Header-Infofeld entfernt; persistente Speicherung entfernt; Netzwerk-Waechter auf Selbsttest entschärft; URL-Validierung und Clipboard-Fallback ergaenzt; About/Footer und Doppellizenzierung nachgezogen.</x:v>
      </x:c>
      <x:c r="I19" s="14" t="str">
        <x:v>Sicherheit; Datenschutz; Netzwerk; Lizenz; UX; Versionierung</x:v>
      </x:c>
      <x:c r="J19" s="14" t="str">
        <x:v>Build-, Release- und Browserpruefung bestanden; sandboxed iframe, localStorage, URL-Schutz und Copy-Fallback geprueft; fachliche Endabnahme und manuelle Tastatur-/Fokuspruefung offen</x:v>
      </x:c>
      <x:c r="K19" s="14" t="str">
        <x:v>Durch V1.19 abgeloest</x:v>
      </x:c>
    </x:row>
    <x:row r="20" ht="79.19999694824219" hidden="0" customHeight="1">
      <x:c r="A20" s="14" t="str">
        <x:v>1.19.20260819-codex</x:v>
      </x:c>
      <x:c r="B20" s="15" t="n">
        <x:v>46253</x:v>
      </x:c>
      <x:c r="C20" s="14" t="n">
        <x:v>1</x:v>
      </x:c>
      <x:c r="D20" s="14" t="n">
        <x:v>19</x:v>
      </x:c>
      <x:c r="E20" s="14" t="str">
        <x:v>codex</x:v>
      </x:c>
      <x:c r="F20" s="14" t="str">
        <x:v>Johannes Koch / Codex</x:v>
      </x:c>
      <x:c r="G20" s="14" t="str">
        <x:v>Archiviert</x:v>
      </x:c>
      <x:c r="H20" s="14" t="str">
        <x:v>Copyright-Zeichen auf MIT-Lizenztext beschraenkt; About-Panel scrollbar und per Escape schliessbar gemacht; Footer benennt Codex/OpenAI; dynamisches Jahr und verbesserte Quellenwarnung ergaenzt; GitHub-Pages-Einstieg, Workflow, README und Vorlagen vorbereitet.</x:v>
      </x:c>
      <x:c r="I20" s="14" t="str">
        <x:v>Text; Barrierearmut; UX; Lizenz; Datenschutz; GitHub; Versionierung</x:v>
      </x:c>
      <x:c r="J20" s="14" t="str">
        <x:v>Build-, Release- und Browserpruefung bestanden; Copyright-Suche, 500px-Panel, Escape-Fokus, 2027-Jahr, aria-invalid, Pages-index und V1.18-Regressionen geprueft</x:v>
      </x:c>
      <x:c r="K20" s="14" t="str">
        <x:v>Durch V1.20 abgeloest</x:v>
      </x:c>
    </x:row>
    <x:row r="21" ht="66" hidden="0" customHeight="1">
      <x:c r="A21" s="14" t="str">
        <x:v>1.20.20260819-codex</x:v>
      </x:c>
      <x:c r="B21" s="15" t="n">
        <x:v>46253</x:v>
      </x:c>
      <x:c r="C21" s="14" t="n">
        <x:v>1</x:v>
      </x:c>
      <x:c r="D21" s="14" t="n">
        <x:v>20</x:v>
      </x:c>
      <x:c r="E21" s="14" t="str">
        <x:v>codex</x:v>
      </x:c>
      <x:c r="F21" s="14" t="str">
        <x:v>Johannes Koch / Codex</x:v>
      </x:c>
      <x:c r="G21" s="14" t="str">
        <x:v>Archiviert</x:v>
      </x:c>
      <x:c r="H21" s="14" t="str">
        <x:v>MIT License im About-Panel mit der OSI-Lizenzseite verlinkt; Entstehungsabschnitt zu Vibe-Coding, Claude, Codex und redaktioneller Verantwortung ergaenzt; Browsercheck-Pfade aktualisiert.</x:v>
      </x:c>
      <x:c r="I21" s="14" t="str">
        <x:v>Text; Lizenz; Transparenz; GitHub; Versionierung</x:v>
      </x:c>
      <x:c r="J21" s="14" t="str">
        <x:v>Build-, Release- und Browserpruefung bestanden; MIT-Link, Entstehungsabschnitt, Sprachumschaltung und bestehende Kernlogik geprueft</x:v>
      </x:c>
      <x:c r="K21" s="14" t="str">
        <x:v>Durch V1.21 abgeloest</x:v>
      </x:c>
    </x:row>
    <x:row r="22" ht="66" hidden="0" customHeight="1">
      <x:c r="A22" s="14" t="str">
        <x:v>1.21.20260819-codex</x:v>
      </x:c>
      <x:c r="B22" s="15" t="n">
        <x:v>46253</x:v>
      </x:c>
      <x:c r="C22" s="14" t="n">
        <x:v>1</x:v>
      </x:c>
      <x:c r="D22" s="14" t="n">
        <x:v>21</x:v>
      </x:c>
      <x:c r="E22" s="14" t="str">
        <x:v>codex</x:v>
      </x:c>
      <x:c r="F22" s="14" t="str">
        <x:v>Johannes Koch / Codex</x:v>
      </x:c>
      <x:c r="G22" s="14" t="str">
        <x:v>Freigabekandidat</x:v>
      </x:c>
      <x:c r="H22" s="14" t="str">
        <x:v>Footer- und Transparenztexte nennen Claude/Anthropic und Codex/OpenAI; App-Name bleibt Lizenzfinder; About-Bereich an BITTE-STIL-Struktur angeglichen und Button in die Fusszeile verschoben.</x:v>
      </x:c>
      <x:c r="I22" s="14" t="str">
        <x:v>Text; Lizenz; Transparenz; GitHub; Versionierung</x:v>
      </x:c>
      <x:c r="J22" s="14" t="str">
        <x:v>Build-, Release- und Browserpruefung bestanden; Footer-Text, About-Dialog, englische Ansicht und bestehende Kernlogik geprueft</x:v>
      </x:c>
      <x:c r="K22" s="14" t="str">
        <x:v>Fachliche Endabnahme und manuelle Tastatur-/Fokuspruefung nach Freigabe</x:v>
      </x:c>
    </x:row>
    <x:row r="23" ht="15" hidden="0" customHeight="1">
      <x:c r="A23" s="14"/>
      <x:c r="B23" s="15"/>
      <x:c r="C23" s="14"/>
      <x:c r="D23" s="14"/>
      <x:c r="E23" s="14"/>
      <x:c r="F23" s="14"/>
      <x:c r="G23" s="14"/>
      <x:c r="H23" s="14"/>
      <x:c r="I23" s="14"/>
      <x:c r="J23" s="14"/>
      <x:c r="K23" s="14"/>
    </x:row>
    <x:row r="24" ht="15" hidden="0" customHeight="1">
      <x:c r="A24" s="14"/>
      <x:c r="B24" s="15"/>
      <x:c r="C24" s="14"/>
      <x:c r="D24" s="14"/>
      <x:c r="E24" s="14"/>
      <x:c r="F24" s="14"/>
      <x:c r="G24" s="14"/>
      <x:c r="H24" s="14"/>
      <x:c r="I24" s="14"/>
      <x:c r="J24" s="14"/>
      <x:c r="K24" s="14"/>
    </x:row>
    <x:row r="25" ht="15" hidden="0" customHeight="1">
      <x:c r="A25" s="14"/>
      <x:c r="B25" s="15"/>
      <x:c r="C25" s="14"/>
      <x:c r="D25" s="14"/>
      <x:c r="E25" s="14"/>
      <x:c r="F25" s="14"/>
      <x:c r="G25" s="14"/>
      <x:c r="H25" s="14"/>
      <x:c r="I25" s="14"/>
      <x:c r="J25" s="14"/>
      <x:c r="K25" s="14"/>
    </x:row>
    <x:row r="26" ht="15" hidden="0" customHeight="1">
      <x:c r="A26" s="14"/>
      <x:c r="B26" s="15"/>
      <x:c r="C26" s="14"/>
      <x:c r="D26" s="14"/>
      <x:c r="E26" s="14"/>
      <x:c r="F26" s="14"/>
      <x:c r="G26" s="14"/>
      <x:c r="H26" s="14"/>
      <x:c r="I26" s="14"/>
      <x:c r="J26" s="14"/>
      <x:c r="K26" s="14"/>
    </x:row>
    <x:row r="27" ht="15" hidden="0" customHeight="1">
      <x:c r="A27" s="14"/>
      <x:c r="B27" s="15"/>
      <x:c r="C27" s="14"/>
      <x:c r="D27" s="14"/>
      <x:c r="E27" s="14"/>
      <x:c r="F27" s="14"/>
      <x:c r="G27" s="14"/>
      <x:c r="H27" s="14"/>
      <x:c r="I27" s="14"/>
      <x:c r="J27" s="14"/>
      <x:c r="K27" s="14"/>
    </x:row>
    <x:row r="28" ht="15" hidden="0" customHeight="1">
      <x:c r="A28" s="14"/>
      <x:c r="B28" s="15"/>
      <x:c r="C28" s="14"/>
      <x:c r="D28" s="14"/>
      <x:c r="E28" s="14"/>
      <x:c r="F28" s="14"/>
      <x:c r="G28" s="14"/>
      <x:c r="H28" s="14"/>
      <x:c r="I28" s="14"/>
      <x:c r="J28" s="14"/>
      <x:c r="K28" s="14"/>
    </x:row>
    <x:row r="29" ht="15" hidden="0" customHeight="1">
      <x:c r="A29" s="14"/>
      <x:c r="B29" s="15"/>
      <x:c r="C29" s="14"/>
      <x:c r="D29" s="14"/>
      <x:c r="E29" s="14"/>
      <x:c r="F29" s="14"/>
      <x:c r="G29" s="14"/>
      <x:c r="H29" s="14"/>
      <x:c r="I29" s="14"/>
      <x:c r="J29" s="14"/>
      <x:c r="K29" s="14"/>
    </x:row>
    <x:row r="30" ht="15" hidden="0" customHeight="1">
      <x:c r="A30" s="14"/>
      <x:c r="B30" s="15"/>
      <x:c r="C30" s="14"/>
      <x:c r="D30" s="14"/>
      <x:c r="E30" s="14"/>
      <x:c r="F30" s="14"/>
      <x:c r="G30" s="14"/>
      <x:c r="H30" s="14"/>
      <x:c r="I30" s="14"/>
      <x:c r="J30" s="14"/>
      <x:c r="K30" s="14"/>
    </x:row>
  </x:sheetData>
  <x:dataValidations count="2">
    <x:dataValidation type="list" sqref="E2:E200">
      <x:formula1>'Listen'!$A$2:$A$12</x:formula1>
    </x:dataValidation>
    <x:dataValidation type="list" sqref="G2:G200">
      <x:formula1>'Listen'!$B$2:$B$9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6" max="6" width="52" hidden="0" customWidth="1"/>
    <x:col min="7" max="7" width="34" hidden="0" customWidth="1"/>
    <x:col min="1" max="1" width="14" hidden="0" customWidth="1"/>
    <x:col min="2" max="2" width="14" hidden="0" customWidth="1"/>
    <x:col min="3" max="3" width="22" hidden="0" customWidth="1"/>
    <x:col min="4" max="4" width="18" hidden="0" customWidth="1"/>
    <x:col min="5" max="5" width="18" hidden="0" customWidth="1"/>
  </x:cols>
  <x:sheetData>
    <x:row r="1" ht="15" hidden="0" customHeight="1">
      <x:c r="A1" s="27" t="str">
        <x:v>Audit-ID</x:v>
      </x:c>
      <x:c r="B1" s="27" t="str">
        <x:v>Datum</x:v>
      </x:c>
      <x:c r="C1" s="27" t="str">
        <x:v>Version</x:v>
      </x:c>
      <x:c r="D1" s="27" t="str">
        <x:v>Art</x:v>
      </x:c>
      <x:c r="E1" s="27" t="str">
        <x:v>Status</x:v>
      </x:c>
      <x:c r="F1" s="27" t="str">
        <x:v>Kurzfazit</x:v>
      </x:c>
      <x:c r="G1" s="27" t="str">
        <x:v>Ablageort</x:v>
      </x:c>
    </x:row>
    <x:row r="2" ht="15" hidden="0" customHeight="1">
      <x:c r="A2" s="14" t="str">
        <x:v>A-001</x:v>
      </x:c>
      <x:c r="B2" s="15" t="n">
        <x:v>46199</x:v>
      </x:c>
      <x:c r="C2" s="14" t="str">
        <x:v>1.1.20260626-codex</x:v>
      </x:c>
      <x:c r="D2" s="14" t="str">
        <x:v>Projektbasis</x:v>
      </x:c>
      <x:c r="E2" s="14" t="str">
        <x:v>offen</x:v>
      </x:c>
      <x:c r="F2" s="14" t="str">
        <x:v>Erstes Struktur-Audit nach Anlage der Projektbasis.</x:v>
      </x:c>
      <x:c r="G2" s="14" t="str">
        <x:v>audits/AUDIT_TEMPLATE.md</x:v>
      </x:c>
    </x:row>
    <x:row r="3" ht="26.399999618530273" hidden="0" customHeight="1">
      <x:c r="A3" s="14" t="str">
        <x:v>A-002</x:v>
      </x:c>
      <x:c r="B3" s="15" t="n">
        <x:v>46199</x:v>
      </x:c>
      <x:c r="C3" s="14" t="str">
        <x:v>1.2.20260626-codex</x:v>
      </x:c>
      <x:c r="D3" s="14" t="str">
        <x:v>Inhalt</x:v>
      </x:c>
      <x:c r="E3" s="14" t="str">
        <x:v>offen</x:v>
      </x:c>
      <x:c r="F3" s="14" t="str">
        <x:v>Anforderungen fuer UI, Sprache, Links, Footer, Metadaten und Badge-Flow spaeter beim Prototyp gegenpruefen.</x:v>
      </x:c>
      <x:c r="G3" s="14" t="str">
        <x:v>docs/APP_ANFORDERUNGEN.md</x:v>
      </x:c>
    </x:row>
    <x:row r="4" ht="26.399999618530273" hidden="0" customHeight="1">
      <x:c r="A4" s="14" t="str">
        <x:v>A-003</x:v>
      </x:c>
      <x:c r="B4" s="15" t="n">
        <x:v>46199</x:v>
      </x:c>
      <x:c r="C4" s="14" t="str">
        <x:v>1.3.20260626-codex</x:v>
      </x:c>
      <x:c r="D4" s="14" t="str">
        <x:v>Projektbasis</x:v>
      </x:c>
      <x:c r="E4" s="14" t="str">
        <x:v>bestanden</x:v>
      </x:c>
      <x:c r="F4" s="14" t="str">
        <x:v>Ordnername und sichtbare Projektbegriffe auf App/Anwendung/Vermerk-Erstellung umgestellt.</x:v>
      </x:c>
      <x:c r="G4" s="14" t="str">
        <x:v>PROJECT_NOTES.md; DECISIONS.md; styleguide/STYLEGUIDE.md</x:v>
      </x:c>
    </x:row>
    <x:row r="5" ht="26.399999618530273" hidden="0" customHeight="1">
      <x:c r="A5" s="14" t="str">
        <x:v>A-004</x:v>
      </x:c>
      <x:c r="B5" s="15" t="n">
        <x:v>46199</x:v>
      </x:c>
      <x:c r="C5" s="14" t="str">
        <x:v>1.4.20260626-codex</x:v>
      </x:c>
      <x:c r="D5" s="14" t="str">
        <x:v>Release</x:v>
      </x:c>
      <x:c r="E5" s="14" t="str">
        <x:v>offen</x:v>
      </x:c>
      <x:c r="F5" s="14" t="str">
        <x:v>Erste HTML-Fassung muss visuell, funktional, mehrsprachig, barrierearm und fachlich geprueft werden.</x:v>
      </x:c>
      <x:c r="G5" s="14" t="str">
        <x:v>lizenzfinder-vermerk-app.html</x:v>
      </x:c>
    </x:row>
    <x:row r="6" ht="39.599998474121094" hidden="0" customHeight="1">
      <x:c r="A6" s="14" t="str">
        <x:v>A-005</x:v>
      </x:c>
      <x:c r="B6" s="15" t="n">
        <x:v>46199</x:v>
      </x:c>
      <x:c r="C6" s="14" t="str">
        <x:v>1.5.20260626-codex</x:v>
      </x:c>
      <x:c r="D6" s="14" t="str">
        <x:v>UX</x:v>
      </x:c>
      <x:c r="E6" s="14" t="str">
        <x:v>in Arbeit</x:v>
      </x:c>
      <x:c r="F6" s="14" t="str">
        <x:v>Iteration nach Screenshot-Referenz umgesetzt; technische Skriptpruefung bestanden, visuelle und fachliche Detailpruefung stehen noch aus.</x:v>
      </x:c>
      <x:c r="G6" s="14" t="str">
        <x:v>versions/aktuell/lizenzfinder-vermerk-app-V1_5_20260626-codex.html</x:v>
      </x:c>
    </x:row>
    <x:row r="7" ht="39.599998474121094" hidden="0" customHeight="1">
      <x:c r="A7" s="14" t="str">
        <x:v>A-006</x:v>
      </x:c>
      <x:c r="B7" s="15" t="n">
        <x:v>46199</x:v>
      </x:c>
      <x:c r="C7" s="14" t="str">
        <x:v>1.6.20260626-codex</x:v>
      </x:c>
      <x:c r="D7" s="14" t="str">
        <x:v>UX</x:v>
      </x:c>
      <x:c r="E7" s="14" t="str">
        <x:v>in Arbeit</x:v>
      </x:c>
      <x:c r="F7" s="14" t="str">
        <x:v>AGB-nahe UI-Iteration umgesetzt; technische Skriptpruefung bestanden, visuelle Browserpruefung durch lokale Browser-Einschraenkung noch offen.</x:v>
      </x:c>
      <x:c r="G7" s="14" t="str">
        <x:v>versions/aktuell/lizenzfinder-vermerk-app-V1_6_20260626-codex.html</x:v>
      </x:c>
    </x:row>
    <x:row r="8" ht="39.599998474121094" hidden="0" customHeight="1">
      <x:c r="A8" s="14" t="str">
        <x:v>A-007</x:v>
      </x:c>
      <x:c r="B8" s="15" t="n">
        <x:v>46199</x:v>
      </x:c>
      <x:c r="C8" s="14" t="str">
        <x:v>1.7.20260626-codex</x:v>
      </x:c>
      <x:c r="D8" s="14" t="str">
        <x:v>UX</x:v>
      </x:c>
      <x:c r="E8" s="14" t="str">
        <x:v>in Arbeit</x:v>
      </x:c>
      <x:c r="F8" s="14" t="str">
        <x:v>Farbrollen, Abstaende, ausklappbare Vorlagen und kompakte Lizenzkarten umgesetzt; technische Skriptpruefung bestanden, visuelle Browserpruefung in dieser Umgebung blockiert.</x:v>
      </x:c>
      <x:c r="G8" s="14" t="str">
        <x:v>versions/aktuell/lizenzfinder-vermerk-app-V1_7_20260626-codex.html</x:v>
      </x:c>
    </x:row>
    <x:row r="9" ht="39.599998474121094" hidden="0" customHeight="1">
      <x:c r="A9" s="14" t="str">
        <x:v>A-008</x:v>
      </x:c>
      <x:c r="B9" s="15" t="n">
        <x:v>46200</x:v>
      </x:c>
      <x:c r="C9" s="14" t="str">
        <x:v>1.8.20260627-codex</x:v>
      </x:c>
      <x:c r="D9" s="14" t="str">
        <x:v>Inhalt</x:v>
      </x:c>
      <x:c r="E9" s="14" t="str">
        <x:v>in Arbeit</x:v>
      </x:c>
      <x:c r="F9" s="14" t="str">
        <x:v>Text- und Exportiteration umgesetzt; Fragenlogik auf vier genutzte Entscheidungsfragen reduziert; Redaktionsdateien und Workflow-Export angelegt.</x:v>
      </x:c>
      <x:c r="G9" s="14" t="str">
        <x:v>lizenzfinder-vermerk-app.html; content/redaktionstexte.de.md; exports/lizenzfinder-workflow-embed.html</x:v>
      </x:c>
    </x:row>
    <x:row r="10" ht="52.79999923706055" hidden="0" customHeight="1">
      <x:c r="A10" s="14" t="str">
        <x:v>A-009</x:v>
      </x:c>
      <x:c r="B10" s="15" t="n">
        <x:v>46200</x:v>
      </x:c>
      <x:c r="C10" s="14" t="str">
        <x:v>1.9.20260627-codex</x:v>
      </x:c>
      <x:c r="D10" s="14" t="str">
        <x:v>Funktion</x:v>
      </x:c>
      <x:c r="E10" s="14" t="str">
        <x:v>in Arbeit</x:v>
      </x:c>
      <x:c r="F10" s="14" t="str">
        <x:v>V1.9 setzt Vermerklogik, Exportdownload, twillo-Attribution und sichtbare Versionsnummer um; Browser- und Downloadpruefung stehen noch aus.</x:v>
      </x:c>
      <x:c r="G10" s="14" t="str">
        <x:v>lizenzfinder-vermerk-app.html; exports/lizenzfinder-workflow-embed.html; versions/aktuell/lizenzfinder-vermerk-app-V1_9_20260627-codex.html</x:v>
      </x:c>
    </x:row>
    <x:row r="11" ht="52.79999923706055" hidden="0" customHeight="1">
      <x:c r="A11" s="14" t="str">
        <x:v>A-010</x:v>
      </x:c>
      <x:c r="B11" s="15" t="n">
        <x:v>46200</x:v>
      </x:c>
      <x:c r="C11" s="14" t="str">
        <x:v>1.10.20260627-codex</x:v>
      </x:c>
      <x:c r="D11" s="14" t="str">
        <x:v>Funktion</x:v>
      </x:c>
      <x:c r="E11" s="14" t="str">
        <x:v>in Arbeit</x:v>
      </x:c>
      <x:c r="F11" s="14" t="str">
        <x:v>Exportfassung als Accordion und direkter Download umgesetzt; visuelle und browserseitige Downloadpruefung lokal empfohlen.</x:v>
      </x:c>
      <x:c r="G11" s="14" t="str">
        <x:v>lizenzfinder-vermerk-app.html; exports/lizenzfinder-workflow-embed.html; versions/aktuell/lizenzfinder-vermerk-app-V1_10_20260627-codex.html</x:v>
      </x:c>
    </x:row>
    <x:row r="12" ht="52.79999923706055" hidden="0" customHeight="1">
      <x:c r="A12" s="14" t="str">
        <x:v>A-011</x:v>
      </x:c>
      <x:c r="B12" s="15" t="n">
        <x:v>46200</x:v>
      </x:c>
      <x:c r="C12" s="14" t="str">
        <x:v>1.11.20260627-codex</x:v>
      </x:c>
      <x:c r="D12" s="14" t="str">
        <x:v>Funktion</x:v>
      </x:c>
      <x:c r="E12" s="14" t="str">
        <x:v>in Arbeit</x:v>
      </x:c>
      <x:c r="F12" s="14" t="str">
        <x:v>Dateiname, Export-Accordion, automatisches Oeffnen der Empfehlung und Einbettungsanleitung umgesetzt; Browserpruefung lokal empfohlen.</x:v>
      </x:c>
      <x:c r="G12" s="14" t="str">
        <x:v>Lizenzfinder-App-V1_11_20260627-codex.html; exports/lizenzfinder-workflow-embed.html; exports/lizenzfinder-einbettung-anleitung.txt</x:v>
      </x:c>
    </x:row>
    <x:row r="13" ht="52.79999923706055" hidden="0" customHeight="1">
      <x:c r="A13" s="14" t="str">
        <x:v>A-012</x:v>
      </x:c>
      <x:c r="B13" s="15" t="n">
        <x:v>46200</x:v>
      </x:c>
      <x:c r="C13" s="14" t="str">
        <x:v>1.12.20260627-codex</x:v>
      </x:c>
      <x:c r="D13" s="14" t="str">
        <x:v>Inhalt</x:v>
      </x:c>
      <x:c r="E13" s="14" t="str">
        <x:v>in Arbeit</x:v>
      </x:c>
      <x:c r="F13" s="14" t="str">
        <x:v>Letzte Sprachpolitur umgesetzt; englische TULLU+B-Referenzen und deutsche Placeholder in der englischen Ansicht bereinigt.</x:v>
      </x:c>
      <x:c r="G13" s="14" t="str">
        <x:v>Lizenzfinder-App-V1_12_20260627-codex.html; exports/lizenzfinder-workflow-embed.html; content/redaktionstexte.en.md</x:v>
      </x:c>
    </x:row>
    <x:row r="14" ht="52.79999923706055" hidden="0" customHeight="1">
      <x:c r="A14" s="14" t="str">
        <x:v>A-013</x:v>
      </x:c>
      <x:c r="B14" s="15" t="n">
        <x:v>46200</x:v>
      </x:c>
      <x:c r="C14" s="14" t="str">
        <x:v>1.13.20260627-codex</x:v>
      </x:c>
      <x:c r="D14" s="14" t="str">
        <x:v>Release</x:v>
      </x:c>
      <x:c r="E14" s="14" t="str">
        <x:v>mit Auflagen</x:v>
      </x:c>
      <x:c r="F14" s="14" t="str">
        <x:v>Release Candidate angelegt; technische Pruefung vorgesehen; Browser-, Fach- und WordPress-Pruefung bleiben vor finaler Freigabe offen.</x:v>
      </x:c>
      <x:c r="G14" s="14" t="str">
        <x:v>audits/RELEASE_AUDIT_V1_13_20260627.md; Lizenzfinder-App-V1_13_20260627-codex.html</x:v>
      </x:c>
    </x:row>
    <x:row r="15" ht="52.79999923706055" hidden="0" customHeight="1">
      <x:c r="A15" s="14" t="str">
        <x:v>A-014</x:v>
      </x:c>
      <x:c r="B15" s="15" t="n">
        <x:v>46202</x:v>
      </x:c>
      <x:c r="C15" s="14" t="str">
        <x:v>1.14.20260629-codex</x:v>
      </x:c>
      <x:c r="D15" s="14" t="str">
        <x:v>Release</x:v>
      </x:c>
      <x:c r="E15" s="14" t="str">
        <x:v>mit Auflagen</x:v>
      </x:c>
      <x:c r="F15" s="14" t="str">
        <x:v>Freigaberelevante Logik-Korrekturen umgesetzt; Logik- und Syntaxpruefung fuer Haupt-App, Exportdatei und eingebettete Download-Kopie bestanden.</x:v>
      </x:c>
      <x:c r="G15" s="14" t="str">
        <x:v>audits/RELEASE_AUDIT_V1_14_20260629.md; Lizenzfinder-App-V1_14_20260629-codex.html</x:v>
      </x:c>
    </x:row>
    <x:row r="16" ht="52.79999923706055" hidden="0" customHeight="1">
      <x:c r="A16" s="14" t="str">
        <x:v>A-015</x:v>
      </x:c>
      <x:c r="B16" s="15" t="n">
        <x:v>46253</x:v>
      </x:c>
      <x:c r="C16" s="14" t="str">
        <x:v>1.15.20260819-codex</x:v>
      </x:c>
      <x:c r="D16" s="14" t="str">
        <x:v>Release</x:v>
      </x:c>
      <x:c r="E16" s="14" t="str">
        <x:v>mit Auflagen</x:v>
      </x:c>
      <x:c r="F16" s="14" t="str">
        <x:v>Feedbackrunde umgesetzt; Build-, Release- und Browserpruefung bestanden; fachliche Endabnahme, manuelle Tastatur-/Fokuspruefung und GitHub-Push bleiben offen.</x:v>
      </x:c>
      <x:c r="G16" s="14" t="str">
        <x:v>audits/RELEASE_AUDIT_V1_15_20260819.md; Lizenzfinder-App-V1_15_20260819-codex.html</x:v>
      </x:c>
    </x:row>
    <x:row r="17" ht="52.79999923706055" hidden="0" customHeight="1">
      <x:c r="A17" s="14" t="str">
        <x:v>A-016</x:v>
      </x:c>
      <x:c r="B17" s="15" t="n">
        <x:v>46253</x:v>
      </x:c>
      <x:c r="C17" s="14" t="str">
        <x:v>1.16.20260819-codex</x:v>
      </x:c>
      <x:c r="D17" s="14" t="str">
        <x:v>Release</x:v>
      </x:c>
      <x:c r="E17" s="14" t="str">
        <x:v>mit Auflagen</x:v>
      </x:c>
      <x:c r="F17" s="14" t="str">
        <x:v>Design-, Branding- und Lizenzkorrektur umgesetzt; Build-, Release- und Browserpruefung vorgesehen; GitHub-Push bleibt bis zur Freigabe offen.</x:v>
      </x:c>
      <x:c r="G17" s="14" t="str">
        <x:v>audits/RELEASE_AUDIT_V1_16_20260819.md; Lizenzfinder-App-V1_16_20260819-codex.html</x:v>
      </x:c>
    </x:row>
    <x:row r="18" ht="52.79999923706055" hidden="0" customHeight="1">
      <x:c r="A18" s="14" t="str">
        <x:v>A-017</x:v>
      </x:c>
      <x:c r="B18" s="15" t="n">
        <x:v>46253</x:v>
      </x:c>
      <x:c r="C18" s="14" t="str">
        <x:v>1.17.20260819-codex</x:v>
      </x:c>
      <x:c r="D18" s="14" t="str">
        <x:v>Release</x:v>
      </x:c>
      <x:c r="E18" s="14" t="str">
        <x:v>mit Auflagen</x:v>
      </x:c>
      <x:c r="F18" s="14" t="str">
        <x:v>Feinschliff und Netzwerk-Waechter umgesetzt; durch V1.18 technisch entschaerft und abgeloest.</x:v>
      </x:c>
      <x:c r="G18" s="14" t="str">
        <x:v>audits/RELEASE_AUDIT_V1_17_20260819.md; Lizenzfinder-App-V1_17_20260819-codex.html</x:v>
      </x:c>
    </x:row>
    <x:row r="19" ht="52.79999923706055" hidden="0" customHeight="1">
      <x:c r="A19" s="14" t="str">
        <x:v>A-018</x:v>
      </x:c>
      <x:c r="B19" s="15" t="n">
        <x:v>46253</x:v>
      </x:c>
      <x:c r="C19" s="14" t="str">
        <x:v>1.18.20260819-codex</x:v>
      </x:c>
      <x:c r="D19" s="14" t="str">
        <x:v>Release</x:v>
      </x:c>
      <x:c r="E19" s="14" t="str">
        <x:v>mit Auflagen</x:v>
      </x:c>
      <x:c r="F19" s="14" t="str">
        <x:v>V1.18-Haertung umgesetzt; durch V1.19 mit About-Panel- und Textfeinschliff abgeloest.</x:v>
      </x:c>
      <x:c r="G19" s="14" t="str">
        <x:v>audits/RELEASE_AUDIT_V1_18_20260819.md; Lizenzfinder-App-V1_18_20260819-codex.html</x:v>
      </x:c>
    </x:row>
    <x:row r="20" ht="52.79999923706055" hidden="0" customHeight="1">
      <x:c r="A20" s="14" t="str">
        <x:v>A-019</x:v>
      </x:c>
      <x:c r="B20" s="15" t="n">
        <x:v>46253</x:v>
      </x:c>
      <x:c r="C20" s="14" t="str">
        <x:v>1.19.20260819-codex</x:v>
      </x:c>
      <x:c r="D20" s="14" t="str">
        <x:v>Release</x:v>
      </x:c>
      <x:c r="E20" s="14" t="str">
        <x:v>mit Auflagen</x:v>
      </x:c>
      <x:c r="F20" s="14" t="str">
        <x:v>V1.19-Feinschliff und GitHub-Pages-Vorbereitung umgesetzt; Build-, Release- und Browserpruefung bestanden; fachliche Endabnahme und manuelle Tastatur-/Fokuspruefung bleiben offen.</x:v>
      </x:c>
      <x:c r="G20" s="14" t="str">
        <x:v>audits/RELEASE_AUDIT_V1_19_20260819.md; Lizenzfinder-App-V1_19_20260819-codex.html</x:v>
      </x:c>
    </x:row>
    <x:row r="21" ht="52.79999923706055" hidden="0" customHeight="1">
      <x:c r="A21" s="14" t="str">
        <x:v>A-020</x:v>
      </x:c>
      <x:c r="B21" s="15" t="n">
        <x:v>46253</x:v>
      </x:c>
      <x:c r="C21" s="14" t="str">
        <x:v>1.20.20260819-codex</x:v>
      </x:c>
      <x:c r="D21" s="14" t="str">
        <x:v>Release</x:v>
      </x:c>
      <x:c r="E21" s="14" t="str">
        <x:v>mit Auflagen</x:v>
      </x:c>
      <x:c r="F21" s="14" t="str">
        <x:v>MIT-Link und Entstehungsabschnitt umgesetzt; Build-, Release- und Browserpruefung bestanden; fachliche Endabnahme und manuelle Tastatur-/Fokuspruefung bleiben offen.</x:v>
      </x:c>
      <x:c r="G21" s="14" t="str">
        <x:v>audits/RELEASE_AUDIT_V1_20_20260819.md; Lizenzfinder-App-V1_20_20260819-codex.html</x:v>
      </x:c>
    </x:row>
    <x:row r="22" ht="52.79999923706055" hidden="0" customHeight="1">
      <x:c r="A22" s="14" t="str">
        <x:v>A-021</x:v>
      </x:c>
      <x:c r="B22" s="15" t="n">
        <x:v>46253</x:v>
      </x:c>
      <x:c r="C22" s="14" t="str">
        <x:v>1.21.20260819-codex</x:v>
      </x:c>
      <x:c r="D22" s="14" t="str">
        <x:v>Release</x:v>
      </x:c>
      <x:c r="E22" s="14" t="str">
        <x:v>mit Auflagen</x:v>
      </x:c>
      <x:c r="F22" s="14" t="str">
        <x:v>Footer- und Transparenztexte auf Claude/Anthropic und Codex/OpenAI erweitert; About-Dialog an BITTE-STIL-Struktur angeglichen; App-Name Lizenzfinder beibehalten; Build-, Release- und Browserpruefung bestanden.</x:v>
      </x:c>
      <x:c r="G22" s="14" t="str">
        <x:v>audits/RELEASE_AUDIT_V1_21_20260819.md; Lizenzfinder-App-V1_21_20260819-codex.html</x:v>
      </x:c>
    </x:row>
    <x:row r="23" ht="15" hidden="0" customHeight="1">
      <x:c r="A23" s="14"/>
      <x:c r="B23" s="15"/>
      <x:c r="C23" s="14"/>
      <x:c r="D23" s="14"/>
      <x:c r="E23" s="14"/>
      <x:c r="F23" s="14"/>
      <x:c r="G23" s="14"/>
    </x:row>
    <x:row r="24" ht="15" hidden="0" customHeight="1">
      <x:c r="A24" s="14"/>
      <x:c r="B24" s="15"/>
      <x:c r="C24" s="14"/>
      <x:c r="D24" s="14"/>
      <x:c r="E24" s="14"/>
      <x:c r="F24" s="14"/>
      <x:c r="G24" s="14"/>
    </x:row>
    <x:row r="25" ht="15" hidden="0" customHeight="1">
      <x:c r="A25" s="14"/>
      <x:c r="B25" s="15"/>
      <x:c r="C25" s="14"/>
      <x:c r="D25" s="14"/>
      <x:c r="E25" s="14"/>
      <x:c r="F25" s="14"/>
      <x:c r="G25" s="14"/>
    </x:row>
    <x:row r="26" ht="15" hidden="0" customHeight="1">
      <x:c r="A26" s="14"/>
      <x:c r="B26" s="15"/>
      <x:c r="C26" s="14"/>
      <x:c r="D26" s="14"/>
      <x:c r="E26" s="14"/>
      <x:c r="F26" s="14"/>
      <x:c r="G26" s="14"/>
    </x:row>
    <x:row r="27" ht="15" hidden="0" customHeight="1">
      <x:c r="A27" s="14"/>
      <x:c r="B27" s="15"/>
      <x:c r="C27" s="14"/>
      <x:c r="D27" s="14"/>
      <x:c r="E27" s="14"/>
      <x:c r="F27" s="14"/>
      <x:c r="G27" s="14"/>
    </x:row>
    <x:row r="28" ht="15" hidden="0" customHeight="1">
      <x:c r="A28" s="14"/>
      <x:c r="B28" s="15"/>
      <x:c r="C28" s="14"/>
      <x:c r="D28" s="14"/>
      <x:c r="E28" s="14"/>
      <x:c r="F28" s="14"/>
      <x:c r="G28" s="14"/>
    </x:row>
    <x:row r="29" ht="15" hidden="0" customHeight="1">
      <x:c r="A29" s="14"/>
      <x:c r="B29" s="15"/>
      <x:c r="C29" s="14"/>
      <x:c r="D29" s="14"/>
      <x:c r="E29" s="14"/>
      <x:c r="F29" s="14"/>
      <x:c r="G29" s="14"/>
    </x:row>
    <x:row r="30" ht="15" hidden="0" customHeight="1">
      <x:c r="A30" s="14"/>
      <x:c r="B30" s="15"/>
      <x:c r="C30" s="14"/>
      <x:c r="D30" s="14"/>
      <x:c r="E30" s="14"/>
      <x:c r="F30" s="14"/>
      <x:c r="G30" s="14"/>
    </x:row>
    <x:row r="31" ht="15" hidden="0" customHeight="1">
      <x:c r="A31" s="14"/>
      <x:c r="B31" s="15"/>
      <x:c r="C31" s="14"/>
      <x:c r="D31" s="14"/>
      <x:c r="E31" s="14"/>
      <x:c r="F31" s="14"/>
      <x:c r="G31" s="14"/>
    </x:row>
    <x:row r="32" ht="15" hidden="0" customHeight="1">
      <x:c r="A32" s="14"/>
      <x:c r="B32" s="15"/>
      <x:c r="C32" s="14"/>
      <x:c r="D32" s="14"/>
      <x:c r="E32" s="14"/>
      <x:c r="F32" s="14"/>
      <x:c r="G32" s="14"/>
    </x:row>
    <x:row r="33" ht="15" hidden="0" customHeight="1">
      <x:c r="A33" s="14"/>
      <x:c r="B33" s="15"/>
      <x:c r="C33" s="14"/>
      <x:c r="D33" s="14"/>
      <x:c r="E33" s="14"/>
      <x:c r="F33" s="14"/>
      <x:c r="G33" s="14"/>
    </x:row>
    <x:row r="34" ht="15" hidden="0" customHeight="1">
      <x:c r="A34" s="14"/>
      <x:c r="B34" s="15"/>
      <x:c r="C34" s="14"/>
      <x:c r="D34" s="14"/>
      <x:c r="E34" s="14"/>
      <x:c r="F34" s="14"/>
      <x:c r="G34" s="14"/>
    </x:row>
    <x:row r="35" ht="15" hidden="0" customHeight="1">
      <x:c r="A35" s="14"/>
      <x:c r="B35" s="15"/>
      <x:c r="C35" s="14"/>
      <x:c r="D35" s="14"/>
      <x:c r="E35" s="14"/>
      <x:c r="F35" s="14"/>
      <x:c r="G35" s="14"/>
    </x:row>
    <x:row r="36" ht="15" hidden="0" customHeight="1">
      <x:c r="A36" s="14"/>
      <x:c r="B36" s="15"/>
      <x:c r="C36" s="14"/>
      <x:c r="D36" s="14"/>
      <x:c r="E36" s="14"/>
      <x:c r="F36" s="14"/>
      <x:c r="G36" s="14"/>
    </x:row>
    <x:row r="37" ht="15" hidden="0" customHeight="1">
      <x:c r="A37" s="14"/>
      <x:c r="B37" s="15"/>
      <x:c r="C37" s="14"/>
      <x:c r="D37" s="14"/>
      <x:c r="E37" s="14"/>
      <x:c r="F37" s="14"/>
      <x:c r="G37" s="14"/>
    </x:row>
    <x:row r="38" ht="15" hidden="0" customHeight="1">
      <x:c r="A38" s="14"/>
      <x:c r="B38" s="15"/>
      <x:c r="C38" s="14"/>
      <x:c r="D38" s="14"/>
      <x:c r="E38" s="14"/>
      <x:c r="F38" s="14"/>
      <x:c r="G38" s="14"/>
    </x:row>
    <x:row r="39" ht="15" hidden="0" customHeight="1">
      <x:c r="A39" s="14"/>
      <x:c r="B39" s="15"/>
      <x:c r="C39" s="14"/>
      <x:c r="D39" s="14"/>
      <x:c r="E39" s="14"/>
      <x:c r="F39" s="14"/>
      <x:c r="G39" s="14"/>
    </x:row>
    <x:row r="40" ht="15" hidden="0" customHeight="1">
      <x:c r="A40" s="14"/>
      <x:c r="B40" s="15"/>
      <x:c r="C40" s="14"/>
      <x:c r="D40" s="14"/>
      <x:c r="E40" s="14"/>
      <x:c r="F40" s="14"/>
      <x:c r="G40" s="14"/>
    </x:row>
  </x:sheetData>
  <x:dataValidations count="2">
    <x:dataValidation type="list" sqref="D2:D200">
      <x:formula1>"Projektbasis,UX,Inhalt,Funktion,Barrierearmut,Release"</x:formula1>
    </x:dataValidation>
    <x:dataValidation type="list" sqref="E2:E200">
      <x:formula1>"offen,in Arbeit,bestanden,mit Auflagen,nicht bestanden"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</x:cols>
  <x:sheetData>
    <x:row r="1" ht="15" hidden="0" customHeight="1">
      <x:c r="A1" s="27" t="str">
        <x:v>Toolcodes</x:v>
      </x:c>
      <x:c r="B1" s="27" t="str">
        <x:v>Versionsstatus</x:v>
      </x:c>
    </x:row>
    <x:row r="2" ht="15" hidden="0" customHeight="1">
      <x:c r="A2" s="14" t="str">
        <x:v>human</x:v>
      </x:c>
      <x:c r="B2" s="14" t="str">
        <x:v>Konzept</x:v>
      </x:c>
    </x:row>
    <x:row r="3" ht="15" hidden="0" customHeight="1">
      <x:c r="A3" s="14" t="str">
        <x:v>codex</x:v>
      </x:c>
      <x:c r="B3" s="14" t="str">
        <x:v>Entwurf</x:v>
      </x:c>
    </x:row>
    <x:row r="4" ht="15" hidden="0" customHeight="1">
      <x:c r="A4" s="14" t="str">
        <x:v>chatgpt</x:v>
      </x:c>
      <x:c r="B4" s="14" t="str">
        <x:v>In Arbeit</x:v>
      </x:c>
    </x:row>
    <x:row r="5" ht="15" hidden="0" customHeight="1">
      <x:c r="A5" s="14" t="str">
        <x:v>claude</x:v>
      </x:c>
      <x:c r="B5" s="14" t="str">
        <x:v>Audit</x:v>
      </x:c>
    </x:row>
    <x:row r="6" ht="15" hidden="0" customHeight="1">
      <x:c r="A6" s="14" t="str">
        <x:v>gemini</x:v>
      </x:c>
      <x:c r="B6" s="14" t="str">
        <x:v>Freigabekandidat</x:v>
      </x:c>
    </x:row>
    <x:row r="7" ht="15" hidden="0" customHeight="1">
      <x:c r="A7" s="14" t="str">
        <x:v>copilot</x:v>
      </x:c>
      <x:c r="B7" s="14" t="str">
        <x:v>Veroeffentlicht</x:v>
      </x:c>
    </x:row>
    <x:row r="8" ht="15" hidden="0" customHeight="1">
      <x:c r="A8" s="14" t="str">
        <x:v>mistral</x:v>
      </x:c>
      <x:c r="B8" s="14" t="str">
        <x:v>Archiviert</x:v>
      </x:c>
    </x:row>
    <x:row r="9" ht="15" hidden="0" customHeight="1">
      <x:c r="A9" s="14" t="str">
        <x:v>perplexity</x:v>
      </x:c>
      <x:c r="B9" s="14" t="str">
        <x:v>Verworfen</x:v>
      </x:c>
    </x:row>
    <x:row r="10" ht="15" hidden="0" customHeight="1">
      <x:c r="A10" s="14" t="str">
        <x:v>local</x:v>
      </x:c>
      <x:c r="B10" s="14"/>
    </x:row>
    <x:row r="11" ht="15" hidden="0" customHeight="1">
      <x:c r="A11" s="14" t="str">
        <x:v>unknown-ai</x:v>
      </x:c>
      <x:c r="B11" s="14"/>
    </x:row>
    <x:row r="12" ht="15" hidden="0" customHeight="1">
      <x:c r="A12" s="14" t="str">
        <x:v>mixed</x:v>
      </x:c>
      <x:c r="B12" s="14"/>
    </x:row>
  </x:sheetData>
  <x:pageMargins left="0.7" right="0.7" top="0.75" bottom="0.75" header="0.3" footer="0.3"/>
</x:worksheet>
</file>